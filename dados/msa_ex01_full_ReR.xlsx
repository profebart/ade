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<sst xmlns="http://schemas.openxmlformats.org/spreadsheetml/2006/main" count="15" uniqueCount="9">
  <si>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</si>
  <si>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</si>
  <si>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</si>
  <si>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</si>
  <si>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</si>
  <si>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</si>
  <si>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op</t>
  </si>
  <si>
    <t xml:space="preserve">medida</t>
  </si>
  <si>
    <t xml:space="preserve">var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</si>
</sst>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03" activeCellId="0" sqref="R103:S12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6.02"/>
    <col collapsed="false" customWidth="true" hidden="false" outlineLevel="0" max="6" min="3" style="2" width="6.0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0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R1" s="4" t="s">
        <v>6</v>
      </c>
      <c r="S1" s="4" t="s">
        <v>7</v>
      </c>
      <c r="T1" s="4" t="s">
        <v>8</v>
      </c>
    </row>
    <row r="2" customFormat="false" ht="12.8" hidden="false" customHeight="false" outlineLevel="0" collapsed="false">
      <c r="A2" s="5" t="n">
        <v>44.9912417759213</v>
      </c>
      <c r="B2" s="5" t="n">
        <v>44.5582854186697</v>
      </c>
      <c r="C2" s="2" t="n">
        <v>45.01</v>
      </c>
      <c r="D2" s="2" t="n">
        <v>44.51</v>
      </c>
      <c r="E2" s="2" t="n">
        <v>44.95</v>
      </c>
      <c r="F2" s="2" t="n">
        <v>44.36</v>
      </c>
      <c r="H2" s="5" t="n">
        <v>44.9912417759213</v>
      </c>
      <c r="I2" s="5" t="n">
        <v>44.5582854186697</v>
      </c>
      <c r="J2" s="2" t="n">
        <v>45.01</v>
      </c>
      <c r="K2" s="2" t="n">
        <v>44.51</v>
      </c>
      <c r="L2" s="2" t="n">
        <v>44.95</v>
      </c>
      <c r="M2" s="2" t="n">
        <v>44.36</v>
      </c>
      <c r="N2" s="4" t="n">
        <f aca="false">AVERAGE(H2:M2)</f>
        <v>44.7299211990985</v>
      </c>
      <c r="O2" s="4" t="n">
        <f aca="false">LARGE(H2:M2,1)-SMALL(H2:M2,1)</f>
        <v>0.649999999999999</v>
      </c>
      <c r="R2" s="0" t="n">
        <v>1</v>
      </c>
      <c r="S2" s="0" t="n">
        <v>1</v>
      </c>
      <c r="T2" s="5" t="n">
        <v>44.9912417759213</v>
      </c>
    </row>
    <row r="3" customFormat="false" ht="12.8" hidden="false" customHeight="false" outlineLevel="0" collapsed="false">
      <c r="A3" s="5" t="n">
        <v>25.5645523505306</v>
      </c>
      <c r="B3" s="5" t="n">
        <v>25.4445054581863</v>
      </c>
      <c r="C3" s="2" t="n">
        <v>25.63</v>
      </c>
      <c r="D3" s="2" t="n">
        <v>25.41</v>
      </c>
      <c r="E3" s="2" t="n">
        <v>25.96</v>
      </c>
      <c r="F3" s="2" t="n">
        <v>25.51</v>
      </c>
      <c r="H3" s="5" t="n">
        <v>25.5645523505306</v>
      </c>
      <c r="I3" s="5" t="n">
        <v>25.4445054581863</v>
      </c>
      <c r="J3" s="2" t="n">
        <v>25.63</v>
      </c>
      <c r="K3" s="2" t="n">
        <v>25.41</v>
      </c>
      <c r="L3" s="2" t="n">
        <v>25.96</v>
      </c>
      <c r="M3" s="2" t="n">
        <v>25.51</v>
      </c>
      <c r="N3" s="4" t="n">
        <f aca="false">AVERAGE(H3:M3)</f>
        <v>25.5865096347862</v>
      </c>
      <c r="O3" s="4" t="n">
        <f aca="false">LARGE(H3:M3,1)-SMALL(H3:M3,1)</f>
        <v>0.550000000000001</v>
      </c>
      <c r="R3" s="0" t="n">
        <v>1</v>
      </c>
      <c r="S3" s="0" t="n">
        <v>1</v>
      </c>
      <c r="T3" s="5" t="n">
        <v>25.5645523505306</v>
      </c>
    </row>
    <row r="4" customFormat="false" ht="12.8" hidden="false" customHeight="false" outlineLevel="0" collapsed="false">
      <c r="A4" s="5" t="n">
        <v>41.4278721041396</v>
      </c>
      <c r="B4" s="5" t="n">
        <v>41.5469171473131</v>
      </c>
      <c r="C4" s="2" t="n">
        <v>41.32</v>
      </c>
      <c r="D4" s="2" t="n">
        <v>41.19</v>
      </c>
      <c r="E4" s="2" t="n">
        <v>41.29</v>
      </c>
      <c r="F4" s="2" t="n">
        <v>41.77</v>
      </c>
      <c r="H4" s="5" t="n">
        <v>41.4278721041396</v>
      </c>
      <c r="I4" s="5" t="n">
        <v>41.5469171473131</v>
      </c>
      <c r="J4" s="2" t="n">
        <v>41.32</v>
      </c>
      <c r="K4" s="2" t="n">
        <v>41.19</v>
      </c>
      <c r="L4" s="2" t="n">
        <v>41.29</v>
      </c>
      <c r="M4" s="2" t="n">
        <v>41.77</v>
      </c>
      <c r="N4" s="4" t="n">
        <f aca="false">AVERAGE(H4:M4)</f>
        <v>41.4241315419088</v>
      </c>
      <c r="O4" s="4" t="n">
        <f aca="false">LARGE(H4:M4,1)-SMALL(H4:M4,1)</f>
        <v>0.580000000000005</v>
      </c>
      <c r="R4" s="0" t="n">
        <v>1</v>
      </c>
      <c r="S4" s="0" t="n">
        <v>1</v>
      </c>
      <c r="T4" s="5" t="n">
        <v>41.4278721041396</v>
      </c>
    </row>
    <row r="5" customFormat="false" ht="12.8" hidden="false" customHeight="false" outlineLevel="0" collapsed="false">
      <c r="A5" s="5" t="n">
        <v>42.5923193787509</v>
      </c>
      <c r="B5" s="5" t="n">
        <v>42.1071501780882</v>
      </c>
      <c r="C5" s="2" t="n">
        <v>42.66</v>
      </c>
      <c r="D5" s="2" t="n">
        <v>42.18</v>
      </c>
      <c r="E5" s="2" t="n">
        <v>42.76</v>
      </c>
      <c r="F5" s="2" t="n">
        <v>42.22</v>
      </c>
      <c r="H5" s="5" t="n">
        <v>42.5923193787509</v>
      </c>
      <c r="I5" s="5" t="n">
        <v>42.1071501780882</v>
      </c>
      <c r="J5" s="2" t="n">
        <v>42.66</v>
      </c>
      <c r="K5" s="2" t="n">
        <v>42.18</v>
      </c>
      <c r="L5" s="2" t="n">
        <v>42.76</v>
      </c>
      <c r="M5" s="2" t="n">
        <v>42.22</v>
      </c>
      <c r="N5" s="4" t="n">
        <f aca="false">AVERAGE(H5:M5)</f>
        <v>42.4199115928065</v>
      </c>
      <c r="O5" s="4" t="n">
        <f aca="false">LARGE(H5:M5,1)-SMALL(H5:M5,1)</f>
        <v>0.652849821911801</v>
      </c>
      <c r="R5" s="0" t="n">
        <v>1</v>
      </c>
      <c r="S5" s="0" t="n">
        <v>1</v>
      </c>
      <c r="T5" s="5" t="n">
        <v>42.5923193787509</v>
      </c>
    </row>
    <row r="6" customFormat="false" ht="12.8" hidden="false" customHeight="false" outlineLevel="0" collapsed="false">
      <c r="A6" s="5" t="n">
        <v>33.432096636044</v>
      </c>
      <c r="B6" s="5" t="n">
        <v>33.2460978512862</v>
      </c>
      <c r="C6" s="2" t="n">
        <v>33.51</v>
      </c>
      <c r="D6" s="2" t="n">
        <v>33.27</v>
      </c>
      <c r="E6" s="2" t="n">
        <v>33.44</v>
      </c>
      <c r="F6" s="2" t="n">
        <v>33.51</v>
      </c>
      <c r="H6" s="5" t="n">
        <v>33.432096636044</v>
      </c>
      <c r="I6" s="5" t="n">
        <v>33.2460978512862</v>
      </c>
      <c r="J6" s="2" t="n">
        <v>33.51</v>
      </c>
      <c r="K6" s="2" t="n">
        <v>33.27</v>
      </c>
      <c r="L6" s="2" t="n">
        <v>33.44</v>
      </c>
      <c r="M6" s="2" t="n">
        <v>33.51</v>
      </c>
      <c r="N6" s="4" t="n">
        <f aca="false">AVERAGE(H6:M6)</f>
        <v>33.4013657478884</v>
      </c>
      <c r="O6" s="4" t="n">
        <f aca="false">LARGE(H6:M6,1)-SMALL(H6:M6,1)</f>
        <v>0.263902148713797</v>
      </c>
      <c r="R6" s="0" t="n">
        <v>1</v>
      </c>
      <c r="S6" s="0" t="n">
        <v>1</v>
      </c>
      <c r="T6" s="5" t="n">
        <v>33.432096636044</v>
      </c>
    </row>
    <row r="7" customFormat="false" ht="12.8" hidden="false" customHeight="false" outlineLevel="0" collapsed="false">
      <c r="A7" s="5" t="n">
        <v>42.200228861102</v>
      </c>
      <c r="B7" s="5" t="n">
        <v>42.1873726242639</v>
      </c>
      <c r="C7" s="2" t="n">
        <v>42.23</v>
      </c>
      <c r="D7" s="2" t="n">
        <v>42.36</v>
      </c>
      <c r="E7" s="2" t="n">
        <v>42.29</v>
      </c>
      <c r="F7" s="2" t="n">
        <v>42.4</v>
      </c>
      <c r="H7" s="5" t="n">
        <v>42.200228861102</v>
      </c>
      <c r="I7" s="5" t="n">
        <v>42.1873726242639</v>
      </c>
      <c r="J7" s="2" t="n">
        <v>42.23</v>
      </c>
      <c r="K7" s="2" t="n">
        <v>42.36</v>
      </c>
      <c r="L7" s="2" t="n">
        <v>42.29</v>
      </c>
      <c r="M7" s="2" t="n">
        <v>42.4</v>
      </c>
      <c r="N7" s="4" t="n">
        <f aca="false">AVERAGE(H7:M7)</f>
        <v>42.2779335808943</v>
      </c>
      <c r="O7" s="4" t="n">
        <f aca="false">LARGE(H7:M7,1)-SMALL(H7:M7,1)</f>
        <v>0.212627375736098</v>
      </c>
      <c r="R7" s="0" t="n">
        <v>1</v>
      </c>
      <c r="S7" s="0" t="n">
        <v>1</v>
      </c>
      <c r="T7" s="5" t="n">
        <v>42.200228861102</v>
      </c>
    </row>
    <row r="8" customFormat="false" ht="12.8" hidden="false" customHeight="false" outlineLevel="0" collapsed="false">
      <c r="A8" s="5" t="n">
        <v>25.5427755943464</v>
      </c>
      <c r="B8" s="5" t="n">
        <v>25.9018228181454</v>
      </c>
      <c r="C8" s="2" t="n">
        <v>25.55</v>
      </c>
      <c r="D8" s="2" t="n">
        <v>25.73</v>
      </c>
      <c r="E8" s="2" t="n">
        <v>25.79</v>
      </c>
      <c r="F8" s="2" t="n">
        <v>25.83</v>
      </c>
      <c r="H8" s="5" t="n">
        <v>25.5427755943464</v>
      </c>
      <c r="I8" s="5" t="n">
        <v>25.9018228181454</v>
      </c>
      <c r="J8" s="2" t="n">
        <v>25.55</v>
      </c>
      <c r="K8" s="2" t="n">
        <v>25.73</v>
      </c>
      <c r="L8" s="2" t="n">
        <v>25.79</v>
      </c>
      <c r="M8" s="2" t="n">
        <v>25.83</v>
      </c>
      <c r="N8" s="4" t="n">
        <f aca="false">AVERAGE(H8:M8)</f>
        <v>25.7240997354153</v>
      </c>
      <c r="O8" s="4" t="n">
        <f aca="false">LARGE(H8:M8,1)-SMALL(H8:M8,1)</f>
        <v>0.359047223799003</v>
      </c>
      <c r="R8" s="0" t="n">
        <v>1</v>
      </c>
      <c r="S8" s="0" t="n">
        <v>1</v>
      </c>
      <c r="T8" s="5" t="n">
        <v>25.5427755943464</v>
      </c>
    </row>
    <row r="9" customFormat="false" ht="12.8" hidden="false" customHeight="false" outlineLevel="0" collapsed="false">
      <c r="A9" s="5" t="n">
        <v>38.5576178369425</v>
      </c>
      <c r="B9" s="5" t="n">
        <v>38.5434346134223</v>
      </c>
      <c r="C9" s="2" t="n">
        <v>38.48</v>
      </c>
      <c r="D9" s="2" t="n">
        <v>37.99</v>
      </c>
      <c r="E9" s="2" t="n">
        <v>38.18</v>
      </c>
      <c r="F9" s="2" t="n">
        <v>37.87</v>
      </c>
      <c r="H9" s="5" t="n">
        <v>38.5576178369425</v>
      </c>
      <c r="I9" s="5" t="n">
        <v>38.5434346134223</v>
      </c>
      <c r="J9" s="2" t="n">
        <v>38.48</v>
      </c>
      <c r="K9" s="2" t="n">
        <v>37.99</v>
      </c>
      <c r="L9" s="2" t="n">
        <v>38.18</v>
      </c>
      <c r="M9" s="2" t="n">
        <v>37.87</v>
      </c>
      <c r="N9" s="4" t="n">
        <f aca="false">AVERAGE(H9:M9)</f>
        <v>38.2701754083941</v>
      </c>
      <c r="O9" s="4" t="n">
        <f aca="false">LARGE(H9:M9,1)-SMALL(H9:M9,1)</f>
        <v>0.687617836942501</v>
      </c>
      <c r="R9" s="0" t="n">
        <v>1</v>
      </c>
      <c r="S9" s="0" t="n">
        <v>1</v>
      </c>
      <c r="T9" s="5" t="n">
        <v>38.5576178369425</v>
      </c>
    </row>
    <row r="10" customFormat="false" ht="12.8" hidden="false" customHeight="false" outlineLevel="0" collapsed="false">
      <c r="A10" s="5" t="n">
        <v>32.9205653379332</v>
      </c>
      <c r="B10" s="5" t="n">
        <v>32.2581185693714</v>
      </c>
      <c r="C10" s="2" t="n">
        <v>32.94</v>
      </c>
      <c r="D10" s="2" t="n">
        <v>32.38</v>
      </c>
      <c r="E10" s="2" t="n">
        <v>32.77</v>
      </c>
      <c r="F10" s="2" t="n">
        <v>32.43</v>
      </c>
      <c r="H10" s="5" t="n">
        <v>32.9205653379332</v>
      </c>
      <c r="I10" s="5" t="n">
        <v>32.2581185693714</v>
      </c>
      <c r="J10" s="2" t="n">
        <v>32.94</v>
      </c>
      <c r="K10" s="2" t="n">
        <v>32.38</v>
      </c>
      <c r="L10" s="2" t="n">
        <v>32.77</v>
      </c>
      <c r="M10" s="2" t="n">
        <v>32.43</v>
      </c>
      <c r="N10" s="4" t="n">
        <f aca="false">AVERAGE(H10:M10)</f>
        <v>32.6164473178841</v>
      </c>
      <c r="O10" s="4" t="n">
        <f aca="false">LARGE(H10:M10,1)-SMALL(H10:M10,1)</f>
        <v>0.6818814306286</v>
      </c>
      <c r="R10" s="0" t="n">
        <v>1</v>
      </c>
      <c r="S10" s="0" t="n">
        <v>1</v>
      </c>
      <c r="T10" s="5" t="n">
        <v>32.9205653379332</v>
      </c>
    </row>
    <row r="11" customFormat="false" ht="12.8" hidden="false" customHeight="false" outlineLevel="0" collapsed="false">
      <c r="A11" s="5" t="n">
        <v>30.2664441053931</v>
      </c>
      <c r="B11" s="5" t="n">
        <v>30.2462654604064</v>
      </c>
      <c r="C11" s="2" t="n">
        <v>32.27</v>
      </c>
      <c r="D11" s="2" t="n">
        <v>30.22</v>
      </c>
      <c r="E11" s="2" t="n">
        <v>31.55</v>
      </c>
      <c r="F11" s="2" t="n">
        <v>31.84</v>
      </c>
      <c r="H11" s="5" t="n">
        <v>28.4199920661958</v>
      </c>
      <c r="I11" s="5" t="n">
        <v>28.4469313886033</v>
      </c>
      <c r="J11" s="2" t="n">
        <v>28.34</v>
      </c>
      <c r="K11" s="2" t="n">
        <v>28.45</v>
      </c>
      <c r="L11" s="2" t="n">
        <v>28.11</v>
      </c>
      <c r="M11" s="2" t="n">
        <v>28.25</v>
      </c>
      <c r="N11" s="4" t="n">
        <f aca="false">AVERAGE(H11:M11)</f>
        <v>28.3361539091332</v>
      </c>
      <c r="O11" s="4" t="n">
        <f aca="false">LARGE(H11:M11,1)-SMALL(H11:M11,1)</f>
        <v>0.34</v>
      </c>
      <c r="R11" s="0" t="n">
        <v>1</v>
      </c>
      <c r="S11" s="0" t="n">
        <v>1</v>
      </c>
      <c r="T11" s="5" t="n">
        <v>30.2664441053931</v>
      </c>
    </row>
    <row r="12" customFormat="false" ht="12.8" hidden="false" customHeight="false" outlineLevel="0" collapsed="false">
      <c r="A12" s="5" t="n">
        <v>28.4199920661958</v>
      </c>
      <c r="B12" s="5" t="n">
        <v>28.4469313886033</v>
      </c>
      <c r="C12" s="2" t="n">
        <v>28.34</v>
      </c>
      <c r="D12" s="2" t="n">
        <v>28.45</v>
      </c>
      <c r="E12" s="2" t="n">
        <v>28.11</v>
      </c>
      <c r="F12" s="2" t="n">
        <v>28.25</v>
      </c>
      <c r="H12" s="5" t="n">
        <v>27.8694597019117</v>
      </c>
      <c r="I12" s="5" t="n">
        <v>27.1575173731883</v>
      </c>
      <c r="J12" s="2" t="n">
        <v>27.78</v>
      </c>
      <c r="K12" s="2" t="n">
        <v>27.04</v>
      </c>
      <c r="L12" s="2" t="n">
        <v>27.66</v>
      </c>
      <c r="M12" s="2" t="n">
        <v>27.77</v>
      </c>
      <c r="N12" s="4" t="n">
        <f aca="false">AVERAGE(H12:M12)</f>
        <v>27.54616284585</v>
      </c>
      <c r="O12" s="4" t="n">
        <f aca="false">LARGE(H12:M12,1)-SMALL(H12:M12,1)</f>
        <v>0.829459701911702</v>
      </c>
      <c r="R12" s="0" t="n">
        <v>1</v>
      </c>
      <c r="S12" s="0" t="n">
        <v>1</v>
      </c>
      <c r="T12" s="5" t="n">
        <v>28.4199920661958</v>
      </c>
    </row>
    <row r="13" customFormat="false" ht="12.8" hidden="false" customHeight="false" outlineLevel="0" collapsed="false">
      <c r="A13" s="5" t="n">
        <v>27.8694597019117</v>
      </c>
      <c r="B13" s="5" t="n">
        <v>27.1575173731883</v>
      </c>
      <c r="C13" s="2" t="n">
        <v>27.78</v>
      </c>
      <c r="D13" s="2" t="n">
        <v>27.04</v>
      </c>
      <c r="E13" s="2" t="n">
        <v>27.66</v>
      </c>
      <c r="F13" s="2" t="n">
        <v>27.77</v>
      </c>
      <c r="H13" s="5" t="n">
        <v>33.2591511020161</v>
      </c>
      <c r="I13" s="5" t="n">
        <v>33.730293121164</v>
      </c>
      <c r="J13" s="2" t="n">
        <v>33.21</v>
      </c>
      <c r="K13" s="2" t="n">
        <v>33.8</v>
      </c>
      <c r="L13" s="2" t="n">
        <v>33.54</v>
      </c>
      <c r="M13" s="2" t="n">
        <v>33.44</v>
      </c>
      <c r="N13" s="4" t="n">
        <f aca="false">AVERAGE(H13:M13)</f>
        <v>33.4965740371967</v>
      </c>
      <c r="O13" s="4" t="n">
        <f aca="false">LARGE(H13:M13,1)-SMALL(H13:M13,1)</f>
        <v>0.589999999999996</v>
      </c>
      <c r="R13" s="0" t="n">
        <v>1</v>
      </c>
      <c r="S13" s="0" t="n">
        <v>1</v>
      </c>
      <c r="T13" s="5" t="n">
        <v>27.8694597019117</v>
      </c>
    </row>
    <row r="14" customFormat="false" ht="12.8" hidden="false" customHeight="false" outlineLevel="0" collapsed="false">
      <c r="A14" s="5" t="n">
        <v>33.2591511020161</v>
      </c>
      <c r="B14" s="5" t="n">
        <v>33.730293121164</v>
      </c>
      <c r="C14" s="2" t="n">
        <v>33.21</v>
      </c>
      <c r="D14" s="2" t="n">
        <v>33.8</v>
      </c>
      <c r="E14" s="2" t="n">
        <v>33.54</v>
      </c>
      <c r="F14" s="2" t="n">
        <v>33.44</v>
      </c>
      <c r="H14" s="5" t="n">
        <v>25.6054457471268</v>
      </c>
      <c r="I14" s="5" t="n">
        <v>25.1790085109357</v>
      </c>
      <c r="J14" s="2" t="n">
        <v>25.5</v>
      </c>
      <c r="K14" s="2" t="n">
        <v>25.26</v>
      </c>
      <c r="L14" s="2" t="n">
        <v>25.77</v>
      </c>
      <c r="M14" s="2" t="n">
        <v>25.46</v>
      </c>
      <c r="N14" s="4" t="n">
        <f aca="false">AVERAGE(H14:M14)</f>
        <v>25.4624090430104</v>
      </c>
      <c r="O14" s="4" t="n">
        <f aca="false">LARGE(H14:M14,1)-SMALL(H14:M14,1)</f>
        <v>0.590991489064301</v>
      </c>
      <c r="R14" s="0" t="n">
        <v>1</v>
      </c>
      <c r="S14" s="0" t="n">
        <v>1</v>
      </c>
      <c r="T14" s="5" t="n">
        <v>33.2591511020161</v>
      </c>
    </row>
    <row r="15" customFormat="false" ht="12.8" hidden="false" customHeight="false" outlineLevel="0" collapsed="false">
      <c r="A15" s="5" t="n">
        <v>25.6054457471268</v>
      </c>
      <c r="B15" s="5" t="n">
        <v>25.1790085109357</v>
      </c>
      <c r="C15" s="2" t="n">
        <v>25.5</v>
      </c>
      <c r="D15" s="2" t="n">
        <v>25.26</v>
      </c>
      <c r="E15" s="2" t="n">
        <v>25.77</v>
      </c>
      <c r="F15" s="2" t="n">
        <v>25.46</v>
      </c>
      <c r="H15" s="5" t="n">
        <v>37.2916770343111</v>
      </c>
      <c r="I15" s="5" t="n">
        <v>37.4106732636347</v>
      </c>
      <c r="J15" s="2" t="n">
        <v>37.36</v>
      </c>
      <c r="K15" s="2" t="n">
        <v>37.71</v>
      </c>
      <c r="L15" s="2" t="n">
        <v>37.33</v>
      </c>
      <c r="M15" s="2" t="n">
        <v>37.49</v>
      </c>
      <c r="N15" s="4" t="n">
        <f aca="false">AVERAGE(H15:M15)</f>
        <v>37.432058382991</v>
      </c>
      <c r="O15" s="4" t="n">
        <f aca="false">LARGE(H15:M15,1)-SMALL(H15:M15,1)</f>
        <v>0.418322965688901</v>
      </c>
      <c r="R15" s="0" t="n">
        <v>1</v>
      </c>
      <c r="S15" s="0" t="n">
        <v>1</v>
      </c>
      <c r="T15" s="5" t="n">
        <v>25.6054457471268</v>
      </c>
    </row>
    <row r="16" customFormat="false" ht="12.8" hidden="false" customHeight="false" outlineLevel="0" collapsed="false">
      <c r="A16" s="5" t="n">
        <v>37.2916770343111</v>
      </c>
      <c r="B16" s="5" t="n">
        <v>37.4106732636347</v>
      </c>
      <c r="C16" s="2" t="n">
        <v>37.36</v>
      </c>
      <c r="D16" s="2" t="n">
        <v>37.71</v>
      </c>
      <c r="E16" s="2" t="n">
        <v>37.33</v>
      </c>
      <c r="F16" s="2" t="n">
        <v>37.49</v>
      </c>
      <c r="H16" s="5" t="n">
        <v>34.0331129895125</v>
      </c>
      <c r="I16" s="5" t="n">
        <v>34.1139632311227</v>
      </c>
      <c r="J16" s="2" t="n">
        <v>33.99</v>
      </c>
      <c r="K16" s="2" t="n">
        <v>34.19</v>
      </c>
      <c r="L16" s="2" t="n">
        <v>34.45</v>
      </c>
      <c r="M16" s="2" t="n">
        <v>34.5</v>
      </c>
      <c r="N16" s="4" t="n">
        <f aca="false">AVERAGE(H16:M16)</f>
        <v>34.2128460367725</v>
      </c>
      <c r="O16" s="4" t="n">
        <f aca="false">LARGE(H16:M16,1)-SMALL(H16:M16,1)</f>
        <v>0.509999999999998</v>
      </c>
      <c r="R16" s="0" t="n">
        <v>1</v>
      </c>
      <c r="S16" s="0" t="n">
        <v>1</v>
      </c>
      <c r="T16" s="5" t="n">
        <v>37.2916770343111</v>
      </c>
    </row>
    <row r="17" customFormat="false" ht="12.8" hidden="false" customHeight="false" outlineLevel="0" collapsed="false">
      <c r="A17" s="5" t="n">
        <v>34.0331129895125</v>
      </c>
      <c r="B17" s="5" t="n">
        <v>34.1139632311227</v>
      </c>
      <c r="C17" s="2" t="n">
        <v>33.99</v>
      </c>
      <c r="D17" s="2" t="n">
        <v>34.19</v>
      </c>
      <c r="E17" s="2" t="n">
        <v>34.45</v>
      </c>
      <c r="F17" s="2" t="n">
        <v>34.5</v>
      </c>
      <c r="H17" s="5" t="n">
        <v>26.9281059636472</v>
      </c>
      <c r="I17" s="5" t="n">
        <v>26.6913382549196</v>
      </c>
      <c r="J17" s="2" t="n">
        <v>26.99</v>
      </c>
      <c r="K17" s="2" t="n">
        <v>27.02</v>
      </c>
      <c r="L17" s="2" t="n">
        <v>27.12</v>
      </c>
      <c r="M17" s="2" t="n">
        <v>27.14</v>
      </c>
      <c r="N17" s="4" t="n">
        <f aca="false">AVERAGE(H17:M17)</f>
        <v>26.9815740364278</v>
      </c>
      <c r="O17" s="4" t="n">
        <f aca="false">LARGE(H17:M17,1)-SMALL(H17:M17,1)</f>
        <v>0.4486617450804</v>
      </c>
      <c r="R17" s="0" t="n">
        <v>1</v>
      </c>
      <c r="S17" s="0" t="n">
        <v>1</v>
      </c>
      <c r="T17" s="5" t="n">
        <v>34.0331129895125</v>
      </c>
    </row>
    <row r="18" customFormat="false" ht="12.8" hidden="false" customHeight="false" outlineLevel="0" collapsed="false">
      <c r="A18" s="5" t="n">
        <v>26.9281059636472</v>
      </c>
      <c r="B18" s="5" t="n">
        <v>26.6913382549196</v>
      </c>
      <c r="C18" s="2" t="n">
        <v>26.99</v>
      </c>
      <c r="D18" s="2" t="n">
        <v>27.02</v>
      </c>
      <c r="E18" s="2" t="n">
        <v>27.12</v>
      </c>
      <c r="F18" s="2" t="n">
        <v>27.14</v>
      </c>
      <c r="H18" s="5" t="n">
        <v>42.7764140629834</v>
      </c>
      <c r="I18" s="5" t="n">
        <v>42.9014058000697</v>
      </c>
      <c r="J18" s="2" t="n">
        <v>42.74</v>
      </c>
      <c r="K18" s="2" t="n">
        <v>42.75</v>
      </c>
      <c r="L18" s="2" t="n">
        <v>42.89</v>
      </c>
      <c r="M18" s="2" t="n">
        <v>42.74</v>
      </c>
      <c r="N18" s="4" t="n">
        <f aca="false">AVERAGE(H18:M18)</f>
        <v>42.7996366438422</v>
      </c>
      <c r="O18" s="4" t="n">
        <f aca="false">LARGE(H18:M18,1)-SMALL(H18:M18,1)</f>
        <v>0.161405800069701</v>
      </c>
      <c r="R18" s="0" t="n">
        <v>1</v>
      </c>
      <c r="S18" s="0" t="n">
        <v>1</v>
      </c>
      <c r="T18" s="5" t="n">
        <v>26.9281059636472</v>
      </c>
    </row>
    <row r="19" customFormat="false" ht="12.8" hidden="false" customHeight="false" outlineLevel="0" collapsed="false">
      <c r="A19" s="5" t="n">
        <v>42.7764140629834</v>
      </c>
      <c r="B19" s="5" t="n">
        <v>42.9014058000697</v>
      </c>
      <c r="C19" s="2" t="n">
        <v>42.74</v>
      </c>
      <c r="D19" s="2" t="n">
        <v>42.75</v>
      </c>
      <c r="E19" s="2" t="n">
        <v>42.89</v>
      </c>
      <c r="F19" s="2" t="n">
        <v>42.74</v>
      </c>
      <c r="H19" s="5" t="n">
        <v>30.1337084885248</v>
      </c>
      <c r="I19" s="5" t="n">
        <v>30.4809851453466</v>
      </c>
      <c r="J19" s="2" t="n">
        <v>30.01</v>
      </c>
      <c r="K19" s="2" t="n">
        <v>30.33</v>
      </c>
      <c r="L19" s="2" t="n">
        <v>30.24</v>
      </c>
      <c r="M19" s="2" t="n">
        <v>30.36</v>
      </c>
      <c r="N19" s="4" t="n">
        <f aca="false">AVERAGE(H19:M19)</f>
        <v>30.2591156056452</v>
      </c>
      <c r="O19" s="4" t="n">
        <f aca="false">LARGE(H19:M19,1)-SMALL(H19:M19,1)</f>
        <v>0.470985145346599</v>
      </c>
      <c r="R19" s="0" t="n">
        <v>1</v>
      </c>
      <c r="S19" s="0" t="n">
        <v>1</v>
      </c>
      <c r="T19" s="5" t="n">
        <v>42.7764140629834</v>
      </c>
    </row>
    <row r="20" customFormat="false" ht="12.8" hidden="false" customHeight="false" outlineLevel="0" collapsed="false">
      <c r="A20" s="5" t="n">
        <v>30.1337084885248</v>
      </c>
      <c r="B20" s="5" t="n">
        <v>30.4809851453466</v>
      </c>
      <c r="C20" s="2" t="n">
        <v>30.01</v>
      </c>
      <c r="D20" s="2" t="n">
        <v>30.33</v>
      </c>
      <c r="E20" s="2" t="n">
        <v>30.24</v>
      </c>
      <c r="F20" s="2" t="n">
        <v>30.36</v>
      </c>
      <c r="H20" s="5" t="n">
        <v>34.282776774967</v>
      </c>
      <c r="I20" s="5" t="n">
        <v>34.2362750558999</v>
      </c>
      <c r="J20" s="2" t="n">
        <v>34.56</v>
      </c>
      <c r="K20" s="2" t="n">
        <v>34.07</v>
      </c>
      <c r="L20" s="2" t="n">
        <v>34.16</v>
      </c>
      <c r="M20" s="2" t="n">
        <v>34.61</v>
      </c>
      <c r="N20" s="4" t="n">
        <f aca="false">AVERAGE(H20:M20)</f>
        <v>34.3198419718112</v>
      </c>
      <c r="O20" s="4" t="n">
        <f aca="false">LARGE(H20:M20,1)-SMALL(H20:M20,1)</f>
        <v>0.539999999999999</v>
      </c>
      <c r="R20" s="0" t="n">
        <v>1</v>
      </c>
      <c r="S20" s="0" t="n">
        <v>1</v>
      </c>
      <c r="T20" s="5" t="n">
        <v>30.1337084885248</v>
      </c>
    </row>
    <row r="21" customFormat="false" ht="12.8" hidden="false" customHeight="false" outlineLevel="0" collapsed="false">
      <c r="A21" s="5" t="n">
        <v>34.282776774967</v>
      </c>
      <c r="B21" s="5" t="n">
        <v>34.2362750558999</v>
      </c>
      <c r="C21" s="2" t="n">
        <v>34.56</v>
      </c>
      <c r="D21" s="2" t="n">
        <v>34.07</v>
      </c>
      <c r="E21" s="2" t="n">
        <v>34.16</v>
      </c>
      <c r="F21" s="2" t="n">
        <v>34.61</v>
      </c>
      <c r="N21" s="4" t="n">
        <f aca="false">AVERAGE(N2:N20)</f>
        <v>34.0682562248293</v>
      </c>
      <c r="O21" s="4" t="n">
        <f aca="false">AVERAGE(O2:O20)</f>
        <v>0.501986983415442</v>
      </c>
      <c r="R21" s="0" t="n">
        <v>1</v>
      </c>
      <c r="S21" s="0" t="n">
        <v>1</v>
      </c>
      <c r="T21" s="5" t="n">
        <v>34.282776774967</v>
      </c>
    </row>
    <row r="22" customFormat="false" ht="12.8" hidden="false" customHeight="false" outlineLevel="0" collapsed="false">
      <c r="H22" s="1"/>
      <c r="I22" s="1"/>
      <c r="J22" s="2"/>
      <c r="K22" s="2"/>
      <c r="L22" s="2"/>
      <c r="M22" s="2"/>
      <c r="O22" s="4" t="n">
        <f aca="false">O21/1.128</f>
        <v>0.445023921467591</v>
      </c>
      <c r="P22" s="4" t="n">
        <f aca="false">O22^2</f>
        <v>0.198046290678392</v>
      </c>
      <c r="R22" s="0" t="n">
        <v>1</v>
      </c>
      <c r="S22" s="0" t="n">
        <v>2</v>
      </c>
      <c r="T22" s="5" t="n">
        <v>44.5582854186697</v>
      </c>
    </row>
    <row r="23" customFormat="false" ht="12.8" hidden="false" customHeight="false" outlineLevel="0" collapsed="false">
      <c r="A23" s="1" t="n">
        <f aca="false">AVERAGE(A2:A21)</f>
        <v>33.904777895615</v>
      </c>
      <c r="B23" s="1" t="n">
        <f aca="false">AVERAGE(B2:B21)</f>
        <v>33.8194180642019</v>
      </c>
      <c r="H23" s="1" t="n">
        <f aca="false">AVERAGE(H2:H20)</f>
        <v>34.0962691477319</v>
      </c>
      <c r="I23" s="1" t="n">
        <f aca="false">AVERAGE(I2:I20)</f>
        <v>34.0074787275595</v>
      </c>
      <c r="J23" s="1" t="n">
        <f aca="false">AVERAGE(J2:J20)</f>
        <v>34.0952631578947</v>
      </c>
      <c r="K23" s="1" t="n">
        <f aca="false">AVERAGE(K2:K20)</f>
        <v>33.981052631579</v>
      </c>
      <c r="L23" s="1" t="n">
        <f aca="false">AVERAGE(L2:L20)</f>
        <v>34.1421052631579</v>
      </c>
      <c r="M23" s="1" t="n">
        <f aca="false">AVERAGE(M2:M20)</f>
        <v>34.0873684210526</v>
      </c>
      <c r="P23" s="4" t="n">
        <f aca="false">P22/38</f>
        <v>0.00521174449153664</v>
      </c>
      <c r="R23" s="0" t="n">
        <v>1</v>
      </c>
      <c r="S23" s="0" t="n">
        <v>2</v>
      </c>
      <c r="T23" s="5" t="n">
        <v>25.4445054581863</v>
      </c>
    </row>
    <row r="24" customFormat="false" ht="12.8" hidden="false" customHeight="false" outlineLevel="0" collapsed="false">
      <c r="B24" s="1" t="n">
        <f aca="false">AVERAGE(A23:B23)</f>
        <v>33.8620979799084</v>
      </c>
      <c r="H24" s="1"/>
      <c r="I24" s="1" t="n">
        <f aca="false">AVERAGE(H23:I23)</f>
        <v>34.0518739376457</v>
      </c>
      <c r="J24" s="1"/>
      <c r="K24" s="1" t="n">
        <f aca="false">AVERAGE(J23:K23)</f>
        <v>34.0381578947368</v>
      </c>
      <c r="L24" s="1"/>
      <c r="M24" s="1" t="n">
        <f aca="false">AVERAGE(L23:M23)</f>
        <v>34.1147368421053</v>
      </c>
      <c r="O24" s="4" t="n">
        <f aca="false">M24-K24</f>
        <v>0.076578947368418</v>
      </c>
      <c r="R24" s="0" t="n">
        <v>1</v>
      </c>
      <c r="S24" s="0" t="n">
        <v>2</v>
      </c>
      <c r="T24" s="5" t="n">
        <v>41.5469171473131</v>
      </c>
    </row>
    <row r="25" customFormat="false" ht="12.8" hidden="false" customHeight="false" outlineLevel="0" collapsed="false">
      <c r="B25" s="1" t="n">
        <f aca="false">AVERAGE(A2:B21)</f>
        <v>33.8620979799084</v>
      </c>
      <c r="H25" s="1"/>
      <c r="I25" s="1" t="n">
        <f aca="false">AVERAGE(H2:I20)</f>
        <v>34.0518739376457</v>
      </c>
      <c r="J25" s="1"/>
      <c r="K25" s="1" t="n">
        <f aca="false">AVERAGE(J2:K20)</f>
        <v>34.0381578947368</v>
      </c>
      <c r="L25" s="1"/>
      <c r="M25" s="1" t="n">
        <f aca="false">AVERAGE(L2:M20)</f>
        <v>34.1147368421053</v>
      </c>
      <c r="O25" s="4" t="n">
        <f aca="false">O24/1.693</f>
        <v>0.0452326918892014</v>
      </c>
      <c r="R25" s="0" t="n">
        <v>1</v>
      </c>
      <c r="S25" s="0" t="n">
        <v>2</v>
      </c>
      <c r="T25" s="5" t="n">
        <v>42.1071501780882</v>
      </c>
    </row>
    <row r="26" customFormat="false" ht="12.8" hidden="false" customHeight="false" outlineLevel="0" collapsed="false">
      <c r="O26" s="4" t="n">
        <f aca="false">O25^2</f>
        <v>0.00204599641554343</v>
      </c>
      <c r="P26" s="4" t="n">
        <f aca="false">O26-P23</f>
        <v>-0.00316574807599321</v>
      </c>
      <c r="R26" s="0" t="n">
        <v>1</v>
      </c>
      <c r="S26" s="0" t="n">
        <v>2</v>
      </c>
      <c r="T26" s="5" t="n">
        <v>33.2460978512862</v>
      </c>
    </row>
    <row r="27" customFormat="false" ht="12.8" hidden="false" customHeight="false" outlineLevel="0" collapsed="false">
      <c r="R27" s="0" t="n">
        <v>1</v>
      </c>
      <c r="S27" s="0" t="n">
        <v>2</v>
      </c>
      <c r="T27" s="5" t="n">
        <v>42.1873726242639</v>
      </c>
    </row>
    <row r="28" customFormat="false" ht="12.8" hidden="false" customHeight="false" outlineLevel="0" collapsed="false">
      <c r="I28" s="4" t="n">
        <f aca="false">ABS(H2-I2)</f>
        <v>0.432956357251605</v>
      </c>
      <c r="K28" s="4" t="n">
        <f aca="false">ABS(J2-K2)</f>
        <v>0.5</v>
      </c>
      <c r="M28" s="4" t="n">
        <f aca="false">ABS(L2-M2)</f>
        <v>0.590000000000003</v>
      </c>
      <c r="R28" s="0" t="n">
        <v>1</v>
      </c>
      <c r="S28" s="0" t="n">
        <v>2</v>
      </c>
      <c r="T28" s="5" t="n">
        <v>25.9018228181454</v>
      </c>
    </row>
    <row r="29" customFormat="false" ht="12.8" hidden="false" customHeight="false" outlineLevel="0" collapsed="false">
      <c r="I29" s="4" t="n">
        <f aca="false">ABS(H3-I3)</f>
        <v>0.120046892344302</v>
      </c>
      <c r="K29" s="4" t="n">
        <f aca="false">ABS(J3-K3)</f>
        <v>0.219999999999999</v>
      </c>
      <c r="M29" s="4" t="n">
        <f aca="false">ABS(L3-M3)</f>
        <v>0.449999999999999</v>
      </c>
      <c r="R29" s="0" t="n">
        <v>1</v>
      </c>
      <c r="S29" s="0" t="n">
        <v>2</v>
      </c>
      <c r="T29" s="5" t="n">
        <v>38.5434346134223</v>
      </c>
    </row>
    <row r="30" customFormat="false" ht="12.8" hidden="false" customHeight="false" outlineLevel="0" collapsed="false">
      <c r="I30" s="4" t="n">
        <f aca="false">ABS(H4-I4)</f>
        <v>0.1190450431735</v>
      </c>
      <c r="K30" s="4" t="n">
        <f aca="false">ABS(J4-K4)</f>
        <v>0.130000000000003</v>
      </c>
      <c r="M30" s="4" t="n">
        <f aca="false">ABS(L4-M4)</f>
        <v>0.480000000000004</v>
      </c>
      <c r="R30" s="0" t="n">
        <v>1</v>
      </c>
      <c r="S30" s="0" t="n">
        <v>2</v>
      </c>
      <c r="T30" s="5" t="n">
        <v>32.2581185693714</v>
      </c>
    </row>
    <row r="31" customFormat="false" ht="12.8" hidden="false" customHeight="false" outlineLevel="0" collapsed="false">
      <c r="I31" s="4" t="n">
        <f aca="false">ABS(H5-I5)</f>
        <v>0.485169200662703</v>
      </c>
      <c r="K31" s="4" t="n">
        <f aca="false">ABS(J5-K5)</f>
        <v>0.479999999999997</v>
      </c>
      <c r="M31" s="4" t="n">
        <f aca="false">ABS(L5-M5)</f>
        <v>0.539999999999999</v>
      </c>
      <c r="R31" s="0" t="n">
        <v>1</v>
      </c>
      <c r="S31" s="0" t="n">
        <v>2</v>
      </c>
      <c r="T31" s="5" t="n">
        <v>30.2462654604064</v>
      </c>
    </row>
    <row r="32" customFormat="false" ht="12.8" hidden="false" customHeight="false" outlineLevel="0" collapsed="false">
      <c r="I32" s="4" t="n">
        <f aca="false">ABS(H6-I6)</f>
        <v>0.1859987847578</v>
      </c>
      <c r="K32" s="4" t="n">
        <f aca="false">ABS(J6-K6)</f>
        <v>0.239999999999995</v>
      </c>
      <c r="M32" s="4" t="n">
        <f aca="false">ABS(L6-M6)</f>
        <v>0.0700000000000003</v>
      </c>
      <c r="R32" s="0" t="n">
        <v>1</v>
      </c>
      <c r="S32" s="0" t="n">
        <v>2</v>
      </c>
      <c r="T32" s="5" t="n">
        <v>28.4469313886033</v>
      </c>
    </row>
    <row r="33" customFormat="false" ht="12.8" hidden="false" customHeight="false" outlineLevel="0" collapsed="false">
      <c r="I33" s="4" t="n">
        <f aca="false">ABS(H7-I7)</f>
        <v>0.0128562368380969</v>
      </c>
      <c r="K33" s="4" t="n">
        <f aca="false">ABS(J7-K7)</f>
        <v>0.130000000000003</v>
      </c>
      <c r="M33" s="4" t="n">
        <f aca="false">ABS(L7-M7)</f>
        <v>0.109999999999999</v>
      </c>
      <c r="R33" s="0" t="n">
        <v>1</v>
      </c>
      <c r="S33" s="0" t="n">
        <v>2</v>
      </c>
      <c r="T33" s="5" t="n">
        <v>27.1575173731883</v>
      </c>
    </row>
    <row r="34" customFormat="false" ht="12.8" hidden="false" customHeight="false" outlineLevel="0" collapsed="false">
      <c r="I34" s="4" t="n">
        <f aca="false">ABS(H8-I8)</f>
        <v>0.359047223799003</v>
      </c>
      <c r="K34" s="4" t="n">
        <f aca="false">ABS(J8-K8)</f>
        <v>0.18</v>
      </c>
      <c r="M34" s="4" t="n">
        <f aca="false">ABS(L8-M8)</f>
        <v>0.0399999999999992</v>
      </c>
      <c r="R34" s="0" t="n">
        <v>1</v>
      </c>
      <c r="S34" s="0" t="n">
        <v>2</v>
      </c>
      <c r="T34" s="5" t="n">
        <v>33.730293121164</v>
      </c>
    </row>
    <row r="35" customFormat="false" ht="12.8" hidden="false" customHeight="false" outlineLevel="0" collapsed="false">
      <c r="I35" s="4" t="n">
        <f aca="false">ABS(H9-I9)</f>
        <v>0.0141832235201989</v>
      </c>
      <c r="K35" s="4" t="n">
        <f aca="false">ABS(J9-K9)</f>
        <v>0.489999999999995</v>
      </c>
      <c r="M35" s="4" t="n">
        <f aca="false">ABS(L9-M9)</f>
        <v>0.310000000000002</v>
      </c>
      <c r="R35" s="0" t="n">
        <v>1</v>
      </c>
      <c r="S35" s="0" t="n">
        <v>2</v>
      </c>
      <c r="T35" s="5" t="n">
        <v>25.1790085109357</v>
      </c>
    </row>
    <row r="36" customFormat="false" ht="12.8" hidden="false" customHeight="false" outlineLevel="0" collapsed="false">
      <c r="I36" s="4" t="n">
        <f aca="false">ABS(H10-I10)</f>
        <v>0.6624467685618</v>
      </c>
      <c r="K36" s="4" t="n">
        <f aca="false">ABS(J10-K10)</f>
        <v>0.559999999999995</v>
      </c>
      <c r="M36" s="4" t="n">
        <f aca="false">ABS(L10-M10)</f>
        <v>0.340000000000003</v>
      </c>
      <c r="R36" s="0" t="n">
        <v>1</v>
      </c>
      <c r="S36" s="0" t="n">
        <v>2</v>
      </c>
      <c r="T36" s="5" t="n">
        <v>37.4106732636347</v>
      </c>
    </row>
    <row r="37" customFormat="false" ht="12.8" hidden="false" customHeight="false" outlineLevel="0" collapsed="false">
      <c r="I37" s="4" t="n">
        <f aca="false">ABS(H11-I11)</f>
        <v>0.0269393224075003</v>
      </c>
      <c r="K37" s="4" t="n">
        <f aca="false">ABS(J11-K11)</f>
        <v>0.109999999999999</v>
      </c>
      <c r="M37" s="4" t="n">
        <f aca="false">ABS(L11-M11)</f>
        <v>0.140000000000001</v>
      </c>
      <c r="R37" s="0" t="n">
        <v>1</v>
      </c>
      <c r="S37" s="0" t="n">
        <v>2</v>
      </c>
      <c r="T37" s="5" t="n">
        <v>34.1139632311227</v>
      </c>
    </row>
    <row r="38" customFormat="false" ht="12.8" hidden="false" customHeight="false" outlineLevel="0" collapsed="false">
      <c r="I38" s="4" t="n">
        <f aca="false">ABS(H12-I12)</f>
        <v>0.711942328723403</v>
      </c>
      <c r="K38" s="4" t="n">
        <f aca="false">ABS(J12-K12)</f>
        <v>0.740000000000002</v>
      </c>
      <c r="M38" s="4" t="n">
        <f aca="false">ABS(L12-M12)</f>
        <v>0.109999999999999</v>
      </c>
      <c r="R38" s="0" t="n">
        <v>1</v>
      </c>
      <c r="S38" s="0" t="n">
        <v>2</v>
      </c>
      <c r="T38" s="5" t="n">
        <v>26.6913382549196</v>
      </c>
    </row>
    <row r="39" customFormat="false" ht="12.8" hidden="false" customHeight="false" outlineLevel="0" collapsed="false">
      <c r="I39" s="4" t="n">
        <f aca="false">ABS(H13-I13)</f>
        <v>0.471142019147905</v>
      </c>
      <c r="K39" s="4" t="n">
        <f aca="false">ABS(J13-K13)</f>
        <v>0.589999999999996</v>
      </c>
      <c r="M39" s="4" t="n">
        <f aca="false">ABS(L13-M13)</f>
        <v>0.100000000000001</v>
      </c>
      <c r="R39" s="0" t="n">
        <v>1</v>
      </c>
      <c r="S39" s="0" t="n">
        <v>2</v>
      </c>
      <c r="T39" s="5" t="n">
        <v>42.9014058000697</v>
      </c>
    </row>
    <row r="40" customFormat="false" ht="12.8" hidden="false" customHeight="false" outlineLevel="0" collapsed="false">
      <c r="I40" s="4" t="n">
        <f aca="false">ABS(H14-I14)</f>
        <v>0.426437236191102</v>
      </c>
      <c r="K40" s="4" t="n">
        <f aca="false">ABS(J14-K14)</f>
        <v>0.239999999999998</v>
      </c>
      <c r="M40" s="4" t="n">
        <f aca="false">ABS(L14-M14)</f>
        <v>0.309999999999999</v>
      </c>
      <c r="R40" s="0" t="n">
        <v>1</v>
      </c>
      <c r="S40" s="0" t="n">
        <v>2</v>
      </c>
      <c r="T40" s="5" t="n">
        <v>30.4809851453466</v>
      </c>
    </row>
    <row r="41" customFormat="false" ht="12.8" hidden="false" customHeight="false" outlineLevel="0" collapsed="false">
      <c r="I41" s="4" t="n">
        <f aca="false">ABS(H15-I15)</f>
        <v>0.118996229323599</v>
      </c>
      <c r="K41" s="4" t="n">
        <f aca="false">ABS(J15-K15)</f>
        <v>0.350000000000001</v>
      </c>
      <c r="M41" s="4" t="n">
        <f aca="false">ABS(L15-M15)</f>
        <v>0.160000000000004</v>
      </c>
      <c r="R41" s="0" t="n">
        <v>1</v>
      </c>
      <c r="S41" s="0" t="n">
        <v>2</v>
      </c>
      <c r="T41" s="5" t="n">
        <v>34.2362750558999</v>
      </c>
    </row>
    <row r="42" customFormat="false" ht="12.8" hidden="false" customHeight="false" outlineLevel="0" collapsed="false">
      <c r="I42" s="4" t="n">
        <f aca="false">ABS(H16-I16)</f>
        <v>0.0808502416102002</v>
      </c>
      <c r="K42" s="4" t="n">
        <f aca="false">ABS(J16-K16)</f>
        <v>0.199999999999996</v>
      </c>
      <c r="M42" s="4" t="n">
        <f aca="false">ABS(L16-M16)</f>
        <v>0.0499999999999972</v>
      </c>
      <c r="R42" s="0" t="n">
        <v>2</v>
      </c>
      <c r="S42" s="0" t="n">
        <v>1</v>
      </c>
      <c r="T42" s="2" t="n">
        <v>45.01</v>
      </c>
    </row>
    <row r="43" customFormat="false" ht="12.8" hidden="false" customHeight="false" outlineLevel="0" collapsed="false">
      <c r="I43" s="4" t="n">
        <f aca="false">ABS(H17-I17)</f>
        <v>0.236767708727601</v>
      </c>
      <c r="K43" s="4" t="n">
        <f aca="false">ABS(J17-K17)</f>
        <v>0.0300000000000011</v>
      </c>
      <c r="M43" s="4" t="n">
        <f aca="false">ABS(L17-M17)</f>
        <v>0.0199999999999996</v>
      </c>
      <c r="R43" s="0" t="n">
        <v>2</v>
      </c>
      <c r="S43" s="0" t="n">
        <v>1</v>
      </c>
      <c r="T43" s="2" t="n">
        <v>25.63</v>
      </c>
    </row>
    <row r="44" customFormat="false" ht="12.8" hidden="false" customHeight="false" outlineLevel="0" collapsed="false">
      <c r="I44" s="4" t="n">
        <f aca="false">ABS(H18-I18)</f>
        <v>0.124991737086305</v>
      </c>
      <c r="K44" s="4" t="n">
        <f aca="false">ABS(J18-K18)</f>
        <v>0.00999999999999801</v>
      </c>
      <c r="M44" s="4" t="n">
        <f aca="false">ABS(L18-M18)</f>
        <v>0.149999999999999</v>
      </c>
      <c r="R44" s="0" t="n">
        <v>2</v>
      </c>
      <c r="S44" s="0" t="n">
        <v>1</v>
      </c>
      <c r="T44" s="2" t="n">
        <v>41.32</v>
      </c>
    </row>
    <row r="45" customFormat="false" ht="12.8" hidden="false" customHeight="false" outlineLevel="0" collapsed="false">
      <c r="I45" s="4" t="n">
        <f aca="false">ABS(H19-I19)</f>
        <v>0.347276656821801</v>
      </c>
      <c r="K45" s="4" t="n">
        <f aca="false">ABS(J19-K19)</f>
        <v>0.319999999999997</v>
      </c>
      <c r="M45" s="4" t="n">
        <f aca="false">ABS(L19-M19)</f>
        <v>0.120000000000001</v>
      </c>
      <c r="R45" s="0" t="n">
        <v>2</v>
      </c>
      <c r="S45" s="0" t="n">
        <v>1</v>
      </c>
      <c r="T45" s="2" t="n">
        <v>42.66</v>
      </c>
    </row>
    <row r="46" customFormat="false" ht="12.8" hidden="false" customHeight="false" outlineLevel="0" collapsed="false">
      <c r="I46" s="4" t="n">
        <f aca="false">ABS(H20-I20)</f>
        <v>0.0465017190670949</v>
      </c>
      <c r="K46" s="4" t="n">
        <f aca="false">ABS(J20-K20)</f>
        <v>0.490000000000002</v>
      </c>
      <c r="M46" s="4" t="n">
        <f aca="false">ABS(L20-M20)</f>
        <v>0.450000000000003</v>
      </c>
      <c r="R46" s="0" t="n">
        <v>2</v>
      </c>
      <c r="S46" s="0" t="n">
        <v>1</v>
      </c>
      <c r="T46" s="2" t="n">
        <v>33.51</v>
      </c>
    </row>
    <row r="47" customFormat="false" ht="12.8" hidden="false" customHeight="false" outlineLevel="0" collapsed="false">
      <c r="I47" s="4" t="n">
        <f aca="false">AVERAGE(I28:I46)</f>
        <v>0.262294470000817</v>
      </c>
      <c r="K47" s="4" t="n">
        <f aca="false">AVERAGE(K28:K46)</f>
        <v>0.316315789473683</v>
      </c>
      <c r="M47" s="4" t="n">
        <f aca="false">AVERAGE(M28:M46)</f>
        <v>0.238947368421053</v>
      </c>
      <c r="N47" s="4" t="n">
        <f aca="false">AVERAGE(I47,K47,M47)</f>
        <v>0.272519209298518</v>
      </c>
      <c r="O47" s="4" t="n">
        <f aca="false">N47/1.693</f>
        <v>0.160968227583295</v>
      </c>
      <c r="R47" s="0" t="n">
        <v>2</v>
      </c>
      <c r="S47" s="0" t="n">
        <v>1</v>
      </c>
      <c r="T47" s="2" t="n">
        <v>42.23</v>
      </c>
    </row>
    <row r="48" customFormat="false" ht="12.8" hidden="false" customHeight="false" outlineLevel="0" collapsed="false">
      <c r="O48" s="4" t="n">
        <f aca="false">O47^2</f>
        <v>0.0259107702913073</v>
      </c>
      <c r="R48" s="0" t="n">
        <v>2</v>
      </c>
      <c r="S48" s="0" t="n">
        <v>1</v>
      </c>
      <c r="T48" s="2" t="n">
        <v>25.55</v>
      </c>
    </row>
    <row r="49" customFormat="false" ht="12.8" hidden="false" customHeight="false" outlineLevel="0" collapsed="false">
      <c r="O49" s="4" t="n">
        <f aca="false">O48-P23</f>
        <v>0.0206990257997707</v>
      </c>
      <c r="R49" s="0" t="n">
        <v>2</v>
      </c>
      <c r="S49" s="0" t="n">
        <v>1</v>
      </c>
      <c r="T49" s="2" t="n">
        <v>38.48</v>
      </c>
    </row>
    <row r="50" customFormat="false" ht="12.8" hidden="false" customHeight="false" outlineLevel="0" collapsed="false">
      <c r="O50" s="4" t="n">
        <f aca="false">SQRT(O49)</f>
        <v>0.143871560079714</v>
      </c>
      <c r="R50" s="0" t="n">
        <v>2</v>
      </c>
      <c r="S50" s="0" t="n">
        <v>1</v>
      </c>
      <c r="T50" s="2" t="n">
        <v>32.94</v>
      </c>
    </row>
    <row r="51" customFormat="false" ht="12.8" hidden="false" customHeight="false" outlineLevel="0" collapsed="false">
      <c r="O51" s="4" t="n">
        <f aca="false">6*O50/30</f>
        <v>0.0287743120159428</v>
      </c>
      <c r="R51" s="0" t="n">
        <v>2</v>
      </c>
      <c r="S51" s="0" t="n">
        <v>1</v>
      </c>
      <c r="T51" s="2" t="n">
        <v>32.27</v>
      </c>
    </row>
    <row r="52" customFormat="false" ht="12.8" hidden="false" customHeight="false" outlineLevel="0" collapsed="false">
      <c r="R52" s="0" t="n">
        <v>2</v>
      </c>
      <c r="S52" s="0" t="n">
        <v>1</v>
      </c>
      <c r="T52" s="2" t="n">
        <v>28.34</v>
      </c>
    </row>
    <row r="53" customFormat="false" ht="12.8" hidden="false" customHeight="false" outlineLevel="0" collapsed="false">
      <c r="R53" s="0" t="n">
        <v>2</v>
      </c>
      <c r="S53" s="0" t="n">
        <v>1</v>
      </c>
      <c r="T53" s="2" t="n">
        <v>27.78</v>
      </c>
    </row>
    <row r="54" customFormat="false" ht="12.8" hidden="false" customHeight="false" outlineLevel="0" collapsed="false">
      <c r="R54" s="0" t="n">
        <v>2</v>
      </c>
      <c r="S54" s="0" t="n">
        <v>1</v>
      </c>
      <c r="T54" s="2" t="n">
        <v>33.21</v>
      </c>
    </row>
    <row r="55" customFormat="false" ht="12.8" hidden="false" customHeight="false" outlineLevel="0" collapsed="false">
      <c r="R55" s="0" t="n">
        <v>2</v>
      </c>
      <c r="S55" s="0" t="n">
        <v>1</v>
      </c>
      <c r="T55" s="2" t="n">
        <v>25.5</v>
      </c>
    </row>
    <row r="56" customFormat="false" ht="12.8" hidden="false" customHeight="false" outlineLevel="0" collapsed="false">
      <c r="R56" s="0" t="n">
        <v>2</v>
      </c>
      <c r="S56" s="0" t="n">
        <v>1</v>
      </c>
      <c r="T56" s="2" t="n">
        <v>37.36</v>
      </c>
    </row>
    <row r="57" customFormat="false" ht="12.8" hidden="false" customHeight="false" outlineLevel="0" collapsed="false">
      <c r="R57" s="0" t="n">
        <v>2</v>
      </c>
      <c r="S57" s="0" t="n">
        <v>1</v>
      </c>
      <c r="T57" s="2" t="n">
        <v>33.99</v>
      </c>
    </row>
    <row r="58" customFormat="false" ht="12.8" hidden="false" customHeight="false" outlineLevel="0" collapsed="false">
      <c r="R58" s="0" t="n">
        <v>2</v>
      </c>
      <c r="S58" s="0" t="n">
        <v>1</v>
      </c>
      <c r="T58" s="2" t="n">
        <v>26.99</v>
      </c>
    </row>
    <row r="59" customFormat="false" ht="12.8" hidden="false" customHeight="false" outlineLevel="0" collapsed="false">
      <c r="R59" s="0" t="n">
        <v>2</v>
      </c>
      <c r="S59" s="0" t="n">
        <v>1</v>
      </c>
      <c r="T59" s="2" t="n">
        <v>42.74</v>
      </c>
    </row>
    <row r="60" customFormat="false" ht="12.8" hidden="false" customHeight="false" outlineLevel="0" collapsed="false">
      <c r="R60" s="0" t="n">
        <v>2</v>
      </c>
      <c r="S60" s="0" t="n">
        <v>1</v>
      </c>
      <c r="T60" s="2" t="n">
        <v>30.01</v>
      </c>
    </row>
    <row r="61" customFormat="false" ht="12.8" hidden="false" customHeight="false" outlineLevel="0" collapsed="false">
      <c r="R61" s="0" t="n">
        <v>2</v>
      </c>
      <c r="S61" s="0" t="n">
        <v>1</v>
      </c>
      <c r="T61" s="2" t="n">
        <v>34.56</v>
      </c>
    </row>
    <row r="62" customFormat="false" ht="12.8" hidden="false" customHeight="false" outlineLevel="0" collapsed="false">
      <c r="R62" s="0" t="n">
        <v>2</v>
      </c>
      <c r="S62" s="0" t="n">
        <v>2</v>
      </c>
      <c r="T62" s="2" t="n">
        <v>44.51</v>
      </c>
    </row>
    <row r="63" customFormat="false" ht="12.8" hidden="false" customHeight="false" outlineLevel="0" collapsed="false">
      <c r="R63" s="0" t="n">
        <v>2</v>
      </c>
      <c r="S63" s="0" t="n">
        <v>2</v>
      </c>
      <c r="T63" s="2" t="n">
        <v>25.41</v>
      </c>
    </row>
    <row r="64" customFormat="false" ht="12.8" hidden="false" customHeight="false" outlineLevel="0" collapsed="false">
      <c r="R64" s="0" t="n">
        <v>2</v>
      </c>
      <c r="S64" s="0" t="n">
        <v>2</v>
      </c>
      <c r="T64" s="2" t="n">
        <v>41.19</v>
      </c>
    </row>
    <row r="65" customFormat="false" ht="12.8" hidden="false" customHeight="false" outlineLevel="0" collapsed="false">
      <c r="R65" s="0" t="n">
        <v>2</v>
      </c>
      <c r="S65" s="0" t="n">
        <v>2</v>
      </c>
      <c r="T65" s="2" t="n">
        <v>42.18</v>
      </c>
    </row>
    <row r="66" customFormat="false" ht="12.8" hidden="false" customHeight="false" outlineLevel="0" collapsed="false">
      <c r="R66" s="0" t="n">
        <v>2</v>
      </c>
      <c r="S66" s="0" t="n">
        <v>2</v>
      </c>
      <c r="T66" s="2" t="n">
        <v>33.27</v>
      </c>
    </row>
    <row r="67" customFormat="false" ht="12.8" hidden="false" customHeight="false" outlineLevel="0" collapsed="false">
      <c r="R67" s="0" t="n">
        <v>2</v>
      </c>
      <c r="S67" s="0" t="n">
        <v>2</v>
      </c>
      <c r="T67" s="2" t="n">
        <v>42.36</v>
      </c>
    </row>
    <row r="68" customFormat="false" ht="12.8" hidden="false" customHeight="false" outlineLevel="0" collapsed="false">
      <c r="R68" s="0" t="n">
        <v>2</v>
      </c>
      <c r="S68" s="0" t="n">
        <v>2</v>
      </c>
      <c r="T68" s="2" t="n">
        <v>25.73</v>
      </c>
    </row>
    <row r="69" customFormat="false" ht="12.8" hidden="false" customHeight="false" outlineLevel="0" collapsed="false">
      <c r="R69" s="0" t="n">
        <v>2</v>
      </c>
      <c r="S69" s="0" t="n">
        <v>2</v>
      </c>
      <c r="T69" s="2" t="n">
        <v>37.99</v>
      </c>
    </row>
    <row r="70" customFormat="false" ht="12.8" hidden="false" customHeight="false" outlineLevel="0" collapsed="false">
      <c r="R70" s="0" t="n">
        <v>2</v>
      </c>
      <c r="S70" s="0" t="n">
        <v>2</v>
      </c>
      <c r="T70" s="2" t="n">
        <v>32.38</v>
      </c>
    </row>
    <row r="71" customFormat="false" ht="12.8" hidden="false" customHeight="false" outlineLevel="0" collapsed="false">
      <c r="R71" s="0" t="n">
        <v>2</v>
      </c>
      <c r="S71" s="0" t="n">
        <v>2</v>
      </c>
      <c r="T71" s="2" t="n">
        <v>30.22</v>
      </c>
    </row>
    <row r="72" customFormat="false" ht="12.8" hidden="false" customHeight="false" outlineLevel="0" collapsed="false">
      <c r="R72" s="0" t="n">
        <v>2</v>
      </c>
      <c r="S72" s="0" t="n">
        <v>2</v>
      </c>
      <c r="T72" s="2" t="n">
        <v>28.45</v>
      </c>
    </row>
    <row r="73" customFormat="false" ht="12.8" hidden="false" customHeight="false" outlineLevel="0" collapsed="false">
      <c r="R73" s="0" t="n">
        <v>2</v>
      </c>
      <c r="S73" s="0" t="n">
        <v>2</v>
      </c>
      <c r="T73" s="2" t="n">
        <v>27.04</v>
      </c>
    </row>
    <row r="74" customFormat="false" ht="12.8" hidden="false" customHeight="false" outlineLevel="0" collapsed="false">
      <c r="R74" s="0" t="n">
        <v>2</v>
      </c>
      <c r="S74" s="0" t="n">
        <v>2</v>
      </c>
      <c r="T74" s="2" t="n">
        <v>33.8</v>
      </c>
    </row>
    <row r="75" customFormat="false" ht="12.8" hidden="false" customHeight="false" outlineLevel="0" collapsed="false">
      <c r="R75" s="0" t="n">
        <v>2</v>
      </c>
      <c r="S75" s="0" t="n">
        <v>2</v>
      </c>
      <c r="T75" s="2" t="n">
        <v>25.26</v>
      </c>
    </row>
    <row r="76" customFormat="false" ht="12.8" hidden="false" customHeight="false" outlineLevel="0" collapsed="false">
      <c r="R76" s="0" t="n">
        <v>2</v>
      </c>
      <c r="S76" s="0" t="n">
        <v>2</v>
      </c>
      <c r="T76" s="2" t="n">
        <v>37.71</v>
      </c>
    </row>
    <row r="77" customFormat="false" ht="12.8" hidden="false" customHeight="false" outlineLevel="0" collapsed="false">
      <c r="R77" s="0" t="n">
        <v>2</v>
      </c>
      <c r="S77" s="0" t="n">
        <v>2</v>
      </c>
      <c r="T77" s="2" t="n">
        <v>34.19</v>
      </c>
    </row>
    <row r="78" customFormat="false" ht="12.8" hidden="false" customHeight="false" outlineLevel="0" collapsed="false">
      <c r="R78" s="0" t="n">
        <v>2</v>
      </c>
      <c r="S78" s="0" t="n">
        <v>2</v>
      </c>
      <c r="T78" s="2" t="n">
        <v>27.02</v>
      </c>
    </row>
    <row r="79" customFormat="false" ht="12.8" hidden="false" customHeight="false" outlineLevel="0" collapsed="false">
      <c r="R79" s="0" t="n">
        <v>2</v>
      </c>
      <c r="S79" s="0" t="n">
        <v>2</v>
      </c>
      <c r="T79" s="2" t="n">
        <v>42.75</v>
      </c>
    </row>
    <row r="80" customFormat="false" ht="12.8" hidden="false" customHeight="false" outlineLevel="0" collapsed="false">
      <c r="R80" s="0" t="n">
        <v>2</v>
      </c>
      <c r="S80" s="0" t="n">
        <v>2</v>
      </c>
      <c r="T80" s="2" t="n">
        <v>30.33</v>
      </c>
    </row>
    <row r="81" customFormat="false" ht="12.8" hidden="false" customHeight="false" outlineLevel="0" collapsed="false">
      <c r="R81" s="0" t="n">
        <v>2</v>
      </c>
      <c r="S81" s="0" t="n">
        <v>2</v>
      </c>
      <c r="T81" s="2" t="n">
        <v>34.07</v>
      </c>
    </row>
    <row r="82" customFormat="false" ht="12.8" hidden="false" customHeight="false" outlineLevel="0" collapsed="false">
      <c r="R82" s="0" t="n">
        <v>3</v>
      </c>
      <c r="S82" s="0" t="n">
        <v>1</v>
      </c>
      <c r="T82" s="2" t="n">
        <v>44.95</v>
      </c>
    </row>
    <row r="83" customFormat="false" ht="12.8" hidden="false" customHeight="false" outlineLevel="0" collapsed="false">
      <c r="R83" s="0" t="n">
        <v>3</v>
      </c>
      <c r="S83" s="0" t="n">
        <v>1</v>
      </c>
      <c r="T83" s="2" t="n">
        <v>25.96</v>
      </c>
    </row>
    <row r="84" customFormat="false" ht="12.8" hidden="false" customHeight="false" outlineLevel="0" collapsed="false">
      <c r="R84" s="0" t="n">
        <v>3</v>
      </c>
      <c r="S84" s="0" t="n">
        <v>1</v>
      </c>
      <c r="T84" s="2" t="n">
        <v>41.29</v>
      </c>
    </row>
    <row r="85" customFormat="false" ht="12.8" hidden="false" customHeight="false" outlineLevel="0" collapsed="false">
      <c r="R85" s="0" t="n">
        <v>3</v>
      </c>
      <c r="S85" s="0" t="n">
        <v>1</v>
      </c>
      <c r="T85" s="2" t="n">
        <v>42.76</v>
      </c>
    </row>
    <row r="86" customFormat="false" ht="12.8" hidden="false" customHeight="false" outlineLevel="0" collapsed="false">
      <c r="R86" s="0" t="n">
        <v>3</v>
      </c>
      <c r="S86" s="0" t="n">
        <v>1</v>
      </c>
      <c r="T86" s="2" t="n">
        <v>33.44</v>
      </c>
    </row>
    <row r="87" customFormat="false" ht="12.8" hidden="false" customHeight="false" outlineLevel="0" collapsed="false">
      <c r="R87" s="0" t="n">
        <v>3</v>
      </c>
      <c r="S87" s="0" t="n">
        <v>1</v>
      </c>
      <c r="T87" s="2" t="n">
        <v>42.29</v>
      </c>
    </row>
    <row r="88" customFormat="false" ht="12.8" hidden="false" customHeight="false" outlineLevel="0" collapsed="false">
      <c r="R88" s="0" t="n">
        <v>3</v>
      </c>
      <c r="S88" s="0" t="n">
        <v>1</v>
      </c>
      <c r="T88" s="2" t="n">
        <v>25.79</v>
      </c>
    </row>
    <row r="89" customFormat="false" ht="12.8" hidden="false" customHeight="false" outlineLevel="0" collapsed="false">
      <c r="R89" s="0" t="n">
        <v>3</v>
      </c>
      <c r="S89" s="0" t="n">
        <v>1</v>
      </c>
      <c r="T89" s="2" t="n">
        <v>38.18</v>
      </c>
    </row>
    <row r="90" customFormat="false" ht="12.8" hidden="false" customHeight="false" outlineLevel="0" collapsed="false">
      <c r="R90" s="0" t="n">
        <v>3</v>
      </c>
      <c r="S90" s="0" t="n">
        <v>1</v>
      </c>
      <c r="T90" s="2" t="n">
        <v>32.77</v>
      </c>
    </row>
    <row r="91" customFormat="false" ht="12.8" hidden="false" customHeight="false" outlineLevel="0" collapsed="false">
      <c r="R91" s="0" t="n">
        <v>3</v>
      </c>
      <c r="S91" s="0" t="n">
        <v>1</v>
      </c>
      <c r="T91" s="2" t="n">
        <v>31.55</v>
      </c>
    </row>
    <row r="92" customFormat="false" ht="12.8" hidden="false" customHeight="false" outlineLevel="0" collapsed="false">
      <c r="R92" s="0" t="n">
        <v>3</v>
      </c>
      <c r="S92" s="0" t="n">
        <v>1</v>
      </c>
      <c r="T92" s="2" t="n">
        <v>28.11</v>
      </c>
    </row>
    <row r="93" customFormat="false" ht="12.8" hidden="false" customHeight="false" outlineLevel="0" collapsed="false">
      <c r="R93" s="0" t="n">
        <v>3</v>
      </c>
      <c r="S93" s="0" t="n">
        <v>1</v>
      </c>
      <c r="T93" s="2" t="n">
        <v>27.66</v>
      </c>
    </row>
    <row r="94" customFormat="false" ht="12.8" hidden="false" customHeight="false" outlineLevel="0" collapsed="false">
      <c r="R94" s="0" t="n">
        <v>3</v>
      </c>
      <c r="S94" s="0" t="n">
        <v>1</v>
      </c>
      <c r="T94" s="2" t="n">
        <v>33.54</v>
      </c>
    </row>
    <row r="95" customFormat="false" ht="12.8" hidden="false" customHeight="false" outlineLevel="0" collapsed="false">
      <c r="R95" s="0" t="n">
        <v>3</v>
      </c>
      <c r="S95" s="0" t="n">
        <v>1</v>
      </c>
      <c r="T95" s="2" t="n">
        <v>25.77</v>
      </c>
    </row>
    <row r="96" customFormat="false" ht="12.8" hidden="false" customHeight="false" outlineLevel="0" collapsed="false">
      <c r="R96" s="0" t="n">
        <v>3</v>
      </c>
      <c r="S96" s="0" t="n">
        <v>1</v>
      </c>
      <c r="T96" s="2" t="n">
        <v>37.33</v>
      </c>
    </row>
    <row r="97" customFormat="false" ht="12.8" hidden="false" customHeight="false" outlineLevel="0" collapsed="false">
      <c r="R97" s="0" t="n">
        <v>3</v>
      </c>
      <c r="S97" s="0" t="n">
        <v>1</v>
      </c>
      <c r="T97" s="2" t="n">
        <v>34.45</v>
      </c>
    </row>
    <row r="98" customFormat="false" ht="12.8" hidden="false" customHeight="false" outlineLevel="0" collapsed="false">
      <c r="R98" s="0" t="n">
        <v>3</v>
      </c>
      <c r="S98" s="0" t="n">
        <v>1</v>
      </c>
      <c r="T98" s="2" t="n">
        <v>27.12</v>
      </c>
    </row>
    <row r="99" customFormat="false" ht="12.8" hidden="false" customHeight="false" outlineLevel="0" collapsed="false">
      <c r="R99" s="0" t="n">
        <v>3</v>
      </c>
      <c r="S99" s="0" t="n">
        <v>1</v>
      </c>
      <c r="T99" s="2" t="n">
        <v>42.89</v>
      </c>
    </row>
    <row r="100" customFormat="false" ht="12.8" hidden="false" customHeight="false" outlineLevel="0" collapsed="false">
      <c r="R100" s="0" t="n">
        <v>3</v>
      </c>
      <c r="S100" s="0" t="n">
        <v>1</v>
      </c>
      <c r="T100" s="2" t="n">
        <v>30.24</v>
      </c>
    </row>
    <row r="101" customFormat="false" ht="12.8" hidden="false" customHeight="false" outlineLevel="0" collapsed="false">
      <c r="R101" s="0" t="n">
        <v>3</v>
      </c>
      <c r="S101" s="0" t="n">
        <v>1</v>
      </c>
      <c r="T101" s="2" t="n">
        <v>34.16</v>
      </c>
    </row>
    <row r="102" customFormat="false" ht="12.8" hidden="false" customHeight="false" outlineLevel="0" collapsed="false">
      <c r="R102" s="0" t="n">
        <v>3</v>
      </c>
      <c r="S102" s="0" t="n">
        <v>2</v>
      </c>
      <c r="T102" s="2" t="n">
        <v>44.36</v>
      </c>
    </row>
    <row r="103" customFormat="false" ht="12.8" hidden="false" customHeight="false" outlineLevel="0" collapsed="false">
      <c r="R103" s="0" t="n">
        <v>3</v>
      </c>
      <c r="S103" s="0" t="n">
        <v>2</v>
      </c>
      <c r="T103" s="2" t="n">
        <v>25.51</v>
      </c>
    </row>
    <row r="104" customFormat="false" ht="12.8" hidden="false" customHeight="false" outlineLevel="0" collapsed="false">
      <c r="R104" s="0" t="n">
        <v>3</v>
      </c>
      <c r="S104" s="0" t="n">
        <v>2</v>
      </c>
      <c r="T104" s="2" t="n">
        <v>41.77</v>
      </c>
    </row>
    <row r="105" customFormat="false" ht="12.8" hidden="false" customHeight="false" outlineLevel="0" collapsed="false">
      <c r="R105" s="0" t="n">
        <v>3</v>
      </c>
      <c r="S105" s="0" t="n">
        <v>2</v>
      </c>
      <c r="T105" s="2" t="n">
        <v>42.22</v>
      </c>
    </row>
    <row r="106" customFormat="false" ht="12.8" hidden="false" customHeight="false" outlineLevel="0" collapsed="false">
      <c r="R106" s="0" t="n">
        <v>3</v>
      </c>
      <c r="S106" s="0" t="n">
        <v>2</v>
      </c>
      <c r="T106" s="2" t="n">
        <v>33.51</v>
      </c>
    </row>
    <row r="107" customFormat="false" ht="12.8" hidden="false" customHeight="false" outlineLevel="0" collapsed="false">
      <c r="R107" s="0" t="n">
        <v>3</v>
      </c>
      <c r="S107" s="0" t="n">
        <v>2</v>
      </c>
      <c r="T107" s="2" t="n">
        <v>42.4</v>
      </c>
    </row>
    <row r="108" customFormat="false" ht="12.8" hidden="false" customHeight="false" outlineLevel="0" collapsed="false">
      <c r="R108" s="0" t="n">
        <v>3</v>
      </c>
      <c r="S108" s="0" t="n">
        <v>2</v>
      </c>
      <c r="T108" s="2" t="n">
        <v>25.83</v>
      </c>
    </row>
    <row r="109" customFormat="false" ht="12.8" hidden="false" customHeight="false" outlineLevel="0" collapsed="false">
      <c r="R109" s="0" t="n">
        <v>3</v>
      </c>
      <c r="S109" s="0" t="n">
        <v>2</v>
      </c>
      <c r="T109" s="2" t="n">
        <v>37.87</v>
      </c>
    </row>
    <row r="110" customFormat="false" ht="12.8" hidden="false" customHeight="false" outlineLevel="0" collapsed="false">
      <c r="R110" s="0" t="n">
        <v>3</v>
      </c>
      <c r="S110" s="0" t="n">
        <v>2</v>
      </c>
      <c r="T110" s="2" t="n">
        <v>32.43</v>
      </c>
    </row>
    <row r="111" customFormat="false" ht="12.8" hidden="false" customHeight="false" outlineLevel="0" collapsed="false">
      <c r="R111" s="0" t="n">
        <v>3</v>
      </c>
      <c r="S111" s="0" t="n">
        <v>2</v>
      </c>
      <c r="T111" s="2" t="n">
        <v>31.84</v>
      </c>
    </row>
    <row r="112" customFormat="false" ht="12.8" hidden="false" customHeight="false" outlineLevel="0" collapsed="false">
      <c r="R112" s="0" t="n">
        <v>3</v>
      </c>
      <c r="S112" s="0" t="n">
        <v>2</v>
      </c>
      <c r="T112" s="2" t="n">
        <v>28.25</v>
      </c>
    </row>
    <row r="113" customFormat="false" ht="12.8" hidden="false" customHeight="false" outlineLevel="0" collapsed="false">
      <c r="R113" s="0" t="n">
        <v>3</v>
      </c>
      <c r="S113" s="0" t="n">
        <v>2</v>
      </c>
      <c r="T113" s="2" t="n">
        <v>27.77</v>
      </c>
    </row>
    <row r="114" customFormat="false" ht="12.8" hidden="false" customHeight="false" outlineLevel="0" collapsed="false">
      <c r="R114" s="0" t="n">
        <v>3</v>
      </c>
      <c r="S114" s="0" t="n">
        <v>2</v>
      </c>
      <c r="T114" s="2" t="n">
        <v>33.44</v>
      </c>
    </row>
    <row r="115" customFormat="false" ht="12.8" hidden="false" customHeight="false" outlineLevel="0" collapsed="false">
      <c r="R115" s="0" t="n">
        <v>3</v>
      </c>
      <c r="S115" s="0" t="n">
        <v>2</v>
      </c>
      <c r="T115" s="2" t="n">
        <v>25.46</v>
      </c>
    </row>
    <row r="116" customFormat="false" ht="12.8" hidden="false" customHeight="false" outlineLevel="0" collapsed="false">
      <c r="R116" s="0" t="n">
        <v>3</v>
      </c>
      <c r="S116" s="0" t="n">
        <v>2</v>
      </c>
      <c r="T116" s="2" t="n">
        <v>37.49</v>
      </c>
    </row>
    <row r="117" customFormat="false" ht="12.8" hidden="false" customHeight="false" outlineLevel="0" collapsed="false">
      <c r="R117" s="0" t="n">
        <v>3</v>
      </c>
      <c r="S117" s="0" t="n">
        <v>2</v>
      </c>
      <c r="T117" s="2" t="n">
        <v>34.5</v>
      </c>
    </row>
    <row r="118" customFormat="false" ht="12.8" hidden="false" customHeight="false" outlineLevel="0" collapsed="false">
      <c r="R118" s="0" t="n">
        <v>3</v>
      </c>
      <c r="S118" s="0" t="n">
        <v>2</v>
      </c>
      <c r="T118" s="2" t="n">
        <v>27.14</v>
      </c>
    </row>
    <row r="119" customFormat="false" ht="12.8" hidden="false" customHeight="false" outlineLevel="0" collapsed="false">
      <c r="R119" s="0" t="n">
        <v>3</v>
      </c>
      <c r="S119" s="0" t="n">
        <v>2</v>
      </c>
      <c r="T119" s="2" t="n">
        <v>42.74</v>
      </c>
    </row>
    <row r="120" customFormat="false" ht="12.8" hidden="false" customHeight="false" outlineLevel="0" collapsed="false">
      <c r="R120" s="0" t="n">
        <v>3</v>
      </c>
      <c r="S120" s="0" t="n">
        <v>2</v>
      </c>
      <c r="T120" s="2" t="n">
        <v>30.36</v>
      </c>
    </row>
    <row r="121" customFormat="false" ht="12.8" hidden="false" customHeight="false" outlineLevel="0" collapsed="false">
      <c r="R121" s="0" t="n">
        <v>3</v>
      </c>
      <c r="S121" s="0" t="n">
        <v>2</v>
      </c>
      <c r="T121" s="2" t="n">
        <v>34.61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2024-09-17T20:03:08Z</dcterms:created>
  <dc:creator/>
  <dc:description/>
  <dc:language>pt-BR</dc:language>
  <cp:lastModifiedBy/>
  <dcterms:modified xsi:type="dcterms:W3CDTF">2024-09-19T10:58:30Z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